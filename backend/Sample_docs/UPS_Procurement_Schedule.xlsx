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S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<sst xmlns="http://schemas.openxmlformats.org/spreadsheetml/2006/main" count="65" uniqueCount="55">
  <si>
    <t xml:space="preserve">Ironwood Point Data Center — Building A, Phase 1</t>
  </si>
  <si>
    <t xml:space="preserve">UPS System Procurement &amp; Installation Schedule  |  Project No. MDC-2026-0417  |  Updated 07/04/2026</t>
  </si>
  <si>
    <t xml:space="preserve">Task ID</t>
  </si>
  <si>
    <t xml:space="preserve">Task</t>
  </si>
  <si>
    <t xml:space="preserve">Start Date</t>
  </si>
  <si>
    <t xml:space="preserve">End Date</t>
  </si>
  <si>
    <t xml:space="preserve">Duration (days)</t>
  </si>
  <si>
    <t xml:space="preserve">Status</t>
  </si>
  <si>
    <t xml:space="preserve">Notes</t>
  </si>
  <si>
    <t xml:space="preserve">1.0</t>
  </si>
  <si>
    <t xml:space="preserve">UPS Specification Issued for Construction</t>
  </si>
  <si>
    <t xml:space="preserve">Complete</t>
  </si>
  <si>
    <t xml:space="preserve">Section 26 33 53 Rev. 2 issued</t>
  </si>
  <si>
    <t xml:space="preserve">2.0</t>
  </si>
  <si>
    <t xml:space="preserve">Vendor Submittal — Product Data &amp; Shop Drawings</t>
  </si>
  <si>
    <t xml:space="preserve">Submittal 26 33 53-01 received from Apex Critical Power</t>
  </si>
  <si>
    <t xml:space="preserve">3.0</t>
  </si>
  <si>
    <t xml:space="preserve">Engineer Submittal Review</t>
  </si>
  <si>
    <t xml:space="preserve">In Progress</t>
  </si>
  <si>
    <t xml:space="preserve">RFI-016 (autonomy) and RFI-017 (efficiency) open pending resolution</t>
  </si>
  <si>
    <t xml:space="preserve">3.1</t>
  </si>
  <si>
    <t xml:space="preserve">Resolve Battery Autonomy Discrepancy (RFI-016)</t>
  </si>
  <si>
    <t xml:space="preserve">Open</t>
  </si>
  <si>
    <t xml:space="preserve">Contractor to confirm 15-min compliant string or submit deviation request</t>
  </si>
  <si>
    <t xml:space="preserve">3.2</t>
  </si>
  <si>
    <t xml:space="preserve">Resolve Efficiency Discrepancy (RFI-017)</t>
  </si>
  <si>
    <t xml:space="preserve">Coordinate with Mechanical re: UPS room heat rejection impact</t>
  </si>
  <si>
    <t xml:space="preserve">4.0</t>
  </si>
  <si>
    <t xml:space="preserve">Submittal Resubmission (if required)</t>
  </si>
  <si>
    <t xml:space="preserve">Not Started</t>
  </si>
  <si>
    <t xml:space="preserve">Contingent on RFI-016 / RFI-017 resolution</t>
  </si>
  <si>
    <t xml:space="preserve">5.0</t>
  </si>
  <si>
    <t xml:space="preserve">Purchase Order Release</t>
  </si>
  <si>
    <t xml:space="preserve">20-24 week factory lead time from this date</t>
  </si>
  <si>
    <t xml:space="preserve">6.0</t>
  </si>
  <si>
    <t xml:space="preserve">Factory Witness Test (FWT)</t>
  </si>
  <si>
    <t xml:space="preserve">Owner's Rep and Commissioning Agent to witness</t>
  </si>
  <si>
    <t xml:space="preserve">7.0</t>
  </si>
  <si>
    <t xml:space="preserve">Equipment Delivery to Site</t>
  </si>
  <si>
    <t xml:space="preserve">Coordinate crane pick and rigging with GC</t>
  </si>
  <si>
    <t xml:space="preserve">8.0</t>
  </si>
  <si>
    <t xml:space="preserve">UPS &amp; Battery Cabinet Installation</t>
  </si>
  <si>
    <t xml:space="preserve">Includes seismic anchoring and grounding</t>
  </si>
  <si>
    <t xml:space="preserve">9.0</t>
  </si>
  <si>
    <t xml:space="preserve">Manufacturer Startup</t>
  </si>
  <si>
    <t xml:space="preserve">Factory-authorized technician required</t>
  </si>
  <si>
    <t xml:space="preserve">10.0</t>
  </si>
  <si>
    <t xml:space="preserve">Integrated Systems Test (IST)</t>
  </si>
  <si>
    <t xml:space="preserve">Full-load bank test, battery discharge, ATS transfer scenarios</t>
  </si>
  <si>
    <t xml:space="preserve">11.0</t>
  </si>
  <si>
    <t xml:space="preserve">Owner Training</t>
  </si>
  <si>
    <t xml:space="preserve">Minimum 8 hours O&amp;M training</t>
  </si>
  <si>
    <t xml:space="preserve">12.0</t>
  </si>
  <si>
    <t xml:space="preserve">Substantial Completion — UPS System</t>
  </si>
  <si>
    <t xml:space="preserve">Milestone per master project schedule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</si>
</sst>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E6B3C"/>
        <sz val="10"/>
      </font>
      <fill>
        <patternFill>
          <bgColor rgb="FFD9F2E3"/>
        </patternFill>
      </fill>
    </dxf>
    <dxf>
      <font>
        <name val="Arial"/>
        <charset val="1"/>
        <family val="0"/>
        <b val="1"/>
        <color rgb="FF1F4E79"/>
        <sz val="10"/>
      </font>
      <fill>
        <patternFill>
          <bgColor rgb="FFD6E4F0"/>
        </patternFill>
      </fill>
    </dxf>
    <dxf>
      <font>
        <name val="Arial"/>
        <charset val="1"/>
        <family val="0"/>
        <b val="1"/>
        <color rgb="FF9C4221"/>
        <sz val="10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595959"/>
        <sz val="10"/>
      </font>
      <fill>
        <patternFill>
          <bgColor rgb="FFE8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BD0"/>
      <rgbColor rgb="FFE8E8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4221"/>
      <rgbColor rgb="FF993366"/>
      <rgbColor rgb="FF1F4E7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46146</v>
      </c>
      <c r="D5" s="5" t="n">
        <v>46146</v>
      </c>
      <c r="E5" s="6" t="n">
        <f aca="false">D5-C5+1</f>
        <v>1</v>
      </c>
      <c r="F5" s="7" t="s">
        <v>11</v>
      </c>
      <c r="G5" s="4" t="s">
        <v>12</v>
      </c>
    </row>
    <row r="6" customFormat="false" ht="23.85" hidden="false" customHeight="false" outlineLevel="0" collapsed="false">
      <c r="A6" s="4" t="s">
        <v>13</v>
      </c>
      <c r="B6" s="4" t="s">
        <v>14</v>
      </c>
      <c r="C6" s="5" t="n">
        <v>46183</v>
      </c>
      <c r="D6" s="5" t="n">
        <v>46198</v>
      </c>
      <c r="E6" s="6" t="n">
        <f aca="false">D6-C6+1</f>
        <v>16</v>
      </c>
      <c r="F6" s="7" t="s">
        <v>11</v>
      </c>
      <c r="G6" s="4" t="s">
        <v>15</v>
      </c>
    </row>
    <row r="7" customFormat="false" ht="23.85" hidden="false" customHeight="false" outlineLevel="0" collapsed="false">
      <c r="A7" s="4" t="s">
        <v>16</v>
      </c>
      <c r="B7" s="4" t="s">
        <v>17</v>
      </c>
      <c r="C7" s="5" t="n">
        <v>46199</v>
      </c>
      <c r="D7" s="5" t="n">
        <v>46220</v>
      </c>
      <c r="E7" s="6" t="n">
        <f aca="false">D7-C7+1</f>
        <v>22</v>
      </c>
      <c r="F7" s="7" t="s">
        <v>18</v>
      </c>
      <c r="G7" s="4" t="s">
        <v>19</v>
      </c>
    </row>
    <row r="8" customFormat="false" ht="23.85" hidden="false" customHeight="false" outlineLevel="0" collapsed="false">
      <c r="A8" s="4" t="s">
        <v>20</v>
      </c>
      <c r="B8" s="4" t="s">
        <v>21</v>
      </c>
      <c r="C8" s="5" t="n">
        <v>46200</v>
      </c>
      <c r="D8" s="5" t="n">
        <v>46213</v>
      </c>
      <c r="E8" s="6" t="n">
        <f aca="false">D8-C8+1</f>
        <v>14</v>
      </c>
      <c r="F8" s="7" t="s">
        <v>22</v>
      </c>
      <c r="G8" s="4" t="s">
        <v>23</v>
      </c>
    </row>
    <row r="9" customFormat="false" ht="15" hidden="false" customHeight="false" outlineLevel="0" collapsed="false">
      <c r="A9" s="4" t="s">
        <v>24</v>
      </c>
      <c r="B9" s="4" t="s">
        <v>25</v>
      </c>
      <c r="C9" s="5" t="n">
        <v>46200</v>
      </c>
      <c r="D9" s="5" t="n">
        <v>46213</v>
      </c>
      <c r="E9" s="6" t="n">
        <f aca="false">D9-C9+1</f>
        <v>14</v>
      </c>
      <c r="F9" s="7" t="s">
        <v>22</v>
      </c>
      <c r="G9" s="4" t="s">
        <v>26</v>
      </c>
    </row>
    <row r="10" customFormat="false" ht="15" hidden="false" customHeight="false" outlineLevel="0" collapsed="false">
      <c r="A10" s="4" t="s">
        <v>27</v>
      </c>
      <c r="B10" s="4" t="s">
        <v>28</v>
      </c>
      <c r="C10" s="5" t="n">
        <v>46214</v>
      </c>
      <c r="D10" s="5" t="n">
        <v>46227</v>
      </c>
      <c r="E10" s="6" t="n">
        <f aca="false">D10-C10+1</f>
        <v>14</v>
      </c>
      <c r="F10" s="7" t="s">
        <v>29</v>
      </c>
      <c r="G10" s="4" t="s">
        <v>30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5" t="n">
        <v>46228</v>
      </c>
      <c r="D11" s="5" t="n">
        <v>46228</v>
      </c>
      <c r="E11" s="6" t="n">
        <f aca="false">D11-C11+1</f>
        <v>1</v>
      </c>
      <c r="F11" s="7" t="s">
        <v>29</v>
      </c>
      <c r="G11" s="4" t="s">
        <v>33</v>
      </c>
    </row>
    <row r="12" customFormat="false" ht="15" hidden="false" customHeight="false" outlineLevel="0" collapsed="false">
      <c r="A12" s="4" t="s">
        <v>34</v>
      </c>
      <c r="B12" s="4" t="s">
        <v>35</v>
      </c>
      <c r="C12" s="5" t="n">
        <v>46356</v>
      </c>
      <c r="D12" s="5" t="n">
        <v>46360</v>
      </c>
      <c r="E12" s="6" t="n">
        <f aca="false">D12-C12+1</f>
        <v>5</v>
      </c>
      <c r="F12" s="7" t="s">
        <v>29</v>
      </c>
      <c r="G12" s="4" t="s">
        <v>36</v>
      </c>
    </row>
    <row r="13" customFormat="false" ht="15" hidden="false" customHeight="false" outlineLevel="0" collapsed="false">
      <c r="A13" s="4" t="s">
        <v>37</v>
      </c>
      <c r="B13" s="4" t="s">
        <v>38</v>
      </c>
      <c r="C13" s="5" t="n">
        <v>46371</v>
      </c>
      <c r="D13" s="5" t="n">
        <v>46374</v>
      </c>
      <c r="E13" s="6" t="n">
        <f aca="false">D13-C13+1</f>
        <v>4</v>
      </c>
      <c r="F13" s="7" t="s">
        <v>29</v>
      </c>
      <c r="G13" s="4" t="s">
        <v>39</v>
      </c>
    </row>
    <row r="14" customFormat="false" ht="15" hidden="false" customHeight="false" outlineLevel="0" collapsed="false">
      <c r="A14" s="4" t="s">
        <v>40</v>
      </c>
      <c r="B14" s="4" t="s">
        <v>41</v>
      </c>
      <c r="C14" s="5" t="n">
        <v>46392</v>
      </c>
      <c r="D14" s="5" t="n">
        <v>46410</v>
      </c>
      <c r="E14" s="6" t="n">
        <f aca="false">D14-C14+1</f>
        <v>19</v>
      </c>
      <c r="F14" s="7" t="s">
        <v>29</v>
      </c>
      <c r="G14" s="4" t="s">
        <v>42</v>
      </c>
    </row>
    <row r="15" customFormat="false" ht="15" hidden="false" customHeight="false" outlineLevel="0" collapsed="false">
      <c r="A15" s="4" t="s">
        <v>43</v>
      </c>
      <c r="B15" s="4" t="s">
        <v>44</v>
      </c>
      <c r="C15" s="5" t="n">
        <v>46413</v>
      </c>
      <c r="D15" s="5" t="n">
        <v>46415</v>
      </c>
      <c r="E15" s="6" t="n">
        <f aca="false">D15-C15+1</f>
        <v>3</v>
      </c>
      <c r="F15" s="7" t="s">
        <v>29</v>
      </c>
      <c r="G15" s="4" t="s">
        <v>45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5" t="n">
        <v>46426</v>
      </c>
      <c r="D16" s="5" t="n">
        <v>46430</v>
      </c>
      <c r="E16" s="6" t="n">
        <f aca="false">D16-C16+1</f>
        <v>5</v>
      </c>
      <c r="F16" s="7" t="s">
        <v>29</v>
      </c>
      <c r="G16" s="4" t="s">
        <v>48</v>
      </c>
    </row>
    <row r="17" customFormat="false" ht="15" hidden="false" customHeight="false" outlineLevel="0" collapsed="false">
      <c r="A17" s="4" t="s">
        <v>49</v>
      </c>
      <c r="B17" s="4" t="s">
        <v>50</v>
      </c>
      <c r="C17" s="5" t="n">
        <v>46433</v>
      </c>
      <c r="D17" s="5" t="n">
        <v>46434</v>
      </c>
      <c r="E17" s="6" t="n">
        <f aca="false">D17-C17+1</f>
        <v>2</v>
      </c>
      <c r="F17" s="7" t="s">
        <v>29</v>
      </c>
      <c r="G17" s="4" t="s">
        <v>51</v>
      </c>
    </row>
    <row r="18" customFormat="false" ht="15" hidden="false" customHeight="false" outlineLevel="0" collapsed="false">
      <c r="A18" s="4" t="s">
        <v>52</v>
      </c>
      <c r="B18" s="4" t="s">
        <v>53</v>
      </c>
      <c r="C18" s="5" t="n">
        <v>46437</v>
      </c>
      <c r="D18" s="5" t="n">
        <v>46437</v>
      </c>
      <c r="E18" s="6" t="n">
        <f aca="false">D18-C18+1</f>
        <v>1</v>
      </c>
      <c r="F18" s="7" t="s">
        <v>29</v>
      </c>
      <c r="G18" s="4" t="s">
        <v>54</v>
      </c>
    </row>
  </sheetData>
  <mergeCells count="2">
    <mergeCell ref="A1:G1"/>
    <mergeCell ref="A2:G2"/>
  </mergeCells>
  <conditionalFormatting sqref="F5:F18">
    <cfRule type="expression" priority="2" aboveAverage="0" equalAverage="0" bottom="0" percent="0" rank="0" text="" dxfId="0">
      <formula>F5="Complete"</formula>
    </cfRule>
    <cfRule type="expression" priority="3" aboveAverage="0" equalAverage="0" bottom="0" percent="0" rank="0" text="" dxfId="1">
      <formula>F5="In Progress"</formula>
    </cfRule>
    <cfRule type="expression" priority="4" aboveAverage="0" equalAverage="0" bottom="0" percent="0" rank="0" text="" dxfId="2">
      <formula>F5="Open"</formula>
    </cfRule>
    <cfRule type="expression" priority="5" aboveAverage="0" equalAverage="0" bottom="0" percent="0" rank="0" text="" dxfId="3">
      <formula>F5="Not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2026-07-04T17:54:59Z</dcterms:created>
  <dc:creator>openpyxl</dc:creator>
  <dc:description/>
  <dc:language>en-US</dc:language>
  <cp:lastModifiedBy/>
  <dcterms:modified xsi:type="dcterms:W3CDTF">2026-07-04T17:54:59Z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